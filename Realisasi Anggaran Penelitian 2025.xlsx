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Planing" sheetId="1" r:id="rId4"/>
  </sheets>
  <definedNames>
    <definedName name="INCOME">LAMBDA(OFFSET('Budget Planing'!$B$19,0,0,COUNTA('Budget Planing'!$B$19:$B$26),1))</definedName>
    <definedName name="PENGELUARAN">LAMBDA(OFFSET('Budget Planing'!$B$32,0,0,COUNTA('Budget Planing'!$B$32:$B$39),1))</definedName>
  </definedNames>
  <calcPr/>
  <extLst>
    <ext uri="GoogleSheetsCustomDataVersion2">
      <go:sheetsCustomData xmlns:go="http://customooxmlschemas.google.com/" r:id="rId5" roundtripDataChecksum="EkPsoagdT6FLUFr6YBb1dvMTlW4J59msrbJn0iJMRVs="/>
    </ext>
  </extLst>
</workbook>
</file>

<file path=xl/sharedStrings.xml><?xml version="1.0" encoding="utf-8"?>
<sst xmlns="http://schemas.openxmlformats.org/spreadsheetml/2006/main" count="102" uniqueCount="48">
  <si>
    <t>Tahun Berjalan</t>
  </si>
  <si>
    <t>Sisa Anggaran 2025</t>
  </si>
  <si>
    <t>Des 2025</t>
  </si>
  <si>
    <t>Januari</t>
  </si>
  <si>
    <t>Feb</t>
  </si>
  <si>
    <t>Mar</t>
  </si>
  <si>
    <t>April</t>
  </si>
  <si>
    <t>Mei</t>
  </si>
  <si>
    <t>Jun</t>
  </si>
  <si>
    <t>Jul</t>
  </si>
  <si>
    <t>Aug</t>
  </si>
  <si>
    <t>Sep</t>
  </si>
  <si>
    <t>Okt</t>
  </si>
  <si>
    <t>Nov</t>
  </si>
  <si>
    <t>Desember</t>
  </si>
  <si>
    <t>Balance</t>
  </si>
  <si>
    <t>Kina</t>
  </si>
  <si>
    <t>KUT</t>
  </si>
  <si>
    <t>Malabar/Sedep</t>
  </si>
  <si>
    <t>Drone</t>
  </si>
  <si>
    <t>GWP</t>
  </si>
  <si>
    <t>IPM Helopeltis</t>
  </si>
  <si>
    <t>Bio Kompos</t>
  </si>
  <si>
    <t>Daur Petik</t>
  </si>
  <si>
    <t>Inkubasi Riset</t>
  </si>
  <si>
    <t>Total</t>
  </si>
  <si>
    <t>Income</t>
  </si>
  <si>
    <t>Jan</t>
  </si>
  <si>
    <t>Apr</t>
  </si>
  <si>
    <t>May</t>
  </si>
  <si>
    <t>Oct</t>
  </si>
  <si>
    <t>Dec</t>
  </si>
  <si>
    <t>Inkubasi</t>
  </si>
  <si>
    <t>Inkubasi Booster</t>
  </si>
  <si>
    <t>Pengeluaran</t>
  </si>
  <si>
    <t xml:space="preserve">SD </t>
  </si>
  <si>
    <t>sd Jan</t>
  </si>
  <si>
    <t>sd Feb</t>
  </si>
  <si>
    <t>sd Mar</t>
  </si>
  <si>
    <t>sd Apr</t>
  </si>
  <si>
    <t>sd May</t>
  </si>
  <si>
    <t>sd Jun</t>
  </si>
  <si>
    <t>sd Jul</t>
  </si>
  <si>
    <t>sd Aug</t>
  </si>
  <si>
    <t>sd Sep</t>
  </si>
  <si>
    <t>sd Oct</t>
  </si>
  <si>
    <t>sd Nov</t>
  </si>
  <si>
    <t>sd 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</si>
</sst>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</fills>
  <borders count="5">
    <border/>
    <border>
      <left/>
      <right/>
      <top/>
      <bottom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top style="thin">
        <color rgb="FFEFEFEF"/>
      </top>
    </border>
    <border>
      <bottom style="thin">
        <color rgb="FFEFEFE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1" fillId="2" fontId="1" numFmtId="0" xfId="0" applyBorder="1" applyFill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2" fillId="0" fontId="1" numFmtId="0" xfId="0" applyBorder="1" applyFont="1"/>
    <xf borderId="2" fillId="0" fontId="1" numFmtId="3" xfId="0" applyBorder="1" applyFont="1" applyNumberFormat="1"/>
    <xf borderId="0" fillId="0" fontId="4" numFmtId="3" xfId="0" applyFont="1" applyNumberFormat="1"/>
    <xf borderId="2" fillId="0" fontId="1" numFmtId="3" xfId="0" applyAlignment="1" applyBorder="1" applyFont="1" applyNumberFormat="1">
      <alignment readingOrder="0"/>
    </xf>
    <xf borderId="1" fillId="4" fontId="3" numFmtId="0" xfId="0" applyBorder="1" applyFill="1" applyFont="1"/>
    <xf borderId="0" fillId="4" fontId="3" numFmtId="0" xfId="0" applyFont="1"/>
    <xf borderId="1" fillId="4" fontId="3" numFmtId="0" xfId="0" applyAlignment="1" applyBorder="1" applyFont="1">
      <alignment horizontal="center"/>
    </xf>
    <xf borderId="0" fillId="0" fontId="1" numFmtId="3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  <xf borderId="3" fillId="0" fontId="1" numFmtId="0" xfId="0" applyBorder="1" applyFont="1"/>
    <xf borderId="0" fillId="0" fontId="5" numFmtId="3" xfId="0" applyAlignment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readingOrder="0"/>
    </xf>
    <xf borderId="3" fillId="0" fontId="1" numFmtId="3" xfId="0" applyBorder="1" applyFont="1" applyNumberFormat="1"/>
    <xf borderId="1" fillId="5" fontId="3" numFmtId="0" xfId="0" applyBorder="1" applyFill="1" applyFont="1"/>
    <xf borderId="0" fillId="5" fontId="3" numFmtId="0" xfId="0" applyFont="1"/>
    <xf borderId="1" fillId="5" fontId="3" numFmtId="0" xfId="0" applyAlignment="1" applyBorder="1" applyFont="1">
      <alignment horizontal="center"/>
    </xf>
    <xf borderId="0" fillId="0" fontId="6" numFmtId="3" xfId="0" applyFont="1" applyNumberFormat="1"/>
    <xf borderId="0" fillId="0" fontId="6" numFmtId="3" xfId="0" applyAlignment="1" applyFont="1" applyNumberFormat="1">
      <alignment readingOrder="0"/>
    </xf>
    <xf borderId="0" fillId="6" fontId="6" numFmtId="3" xfId="0" applyAlignment="1" applyFill="1" applyFont="1" applyNumberFormat="1">
      <alignment readingOrder="0"/>
    </xf>
    <xf borderId="0" fillId="6" fontId="1" numFmtId="164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7" fontId="4" numFmtId="0" xfId="0" applyFill="1" applyFont="1"/>
    <xf borderId="0" fillId="0" fontId="4" numFmtId="3" xfId="0" applyAlignment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4" numFmtId="164" xfId="0" applyFont="1" applyNumberFormat="1"/>
    <xf borderId="1" fillId="8" fontId="3" numFmtId="0" xfId="0" applyBorder="1" applyFill="1" applyFont="1"/>
    <xf borderId="1" fillId="8" fontId="3" numFmtId="0" xfId="0" applyAlignment="1" applyBorder="1" applyFont="1">
      <alignment readingOrder="0"/>
    </xf>
    <xf borderId="0" fillId="8" fontId="3" numFmtId="0" xfId="0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3" width="2.88"/>
    <col customWidth="1" min="4" max="6" width="12.63"/>
    <col customWidth="1" min="17" max="17" width="3.38"/>
  </cols>
  <sheetData>
    <row r="1" ht="15.75" customHeight="1">
      <c r="E1" s="1"/>
    </row>
    <row r="2" ht="15.75" customHeight="1"/>
    <row r="3" ht="15.75" customHeight="1">
      <c r="B3" s="1" t="s">
        <v>0</v>
      </c>
      <c r="E3" s="2"/>
    </row>
    <row r="4" ht="15.75" customHeight="1">
      <c r="B4" s="1">
        <v>2025.0</v>
      </c>
      <c r="D4" s="1"/>
      <c r="F4" s="3"/>
    </row>
    <row r="5" ht="15.75" customHeight="1">
      <c r="B5" s="4" t="s">
        <v>1</v>
      </c>
      <c r="D5" s="5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6" t="s">
        <v>14</v>
      </c>
      <c r="R5" s="4" t="s">
        <v>15</v>
      </c>
    </row>
    <row r="6" ht="15.75" customHeight="1">
      <c r="B6" s="7" t="s">
        <v>16</v>
      </c>
      <c r="D6" s="8">
        <f>11560533-2100000</f>
        <v>9460533</v>
      </c>
      <c r="E6" s="8">
        <f t="shared" ref="E6:P6" si="1">D6+D19-D32</f>
        <v>4601133</v>
      </c>
      <c r="F6" s="8">
        <f t="shared" si="1"/>
        <v>1989133</v>
      </c>
      <c r="G6" s="8">
        <f t="shared" si="1"/>
        <v>-1521867</v>
      </c>
      <c r="H6" s="8">
        <f t="shared" si="1"/>
        <v>-1521867</v>
      </c>
      <c r="I6" s="8">
        <f t="shared" si="1"/>
        <v>-1521867</v>
      </c>
      <c r="J6" s="8">
        <f t="shared" si="1"/>
        <v>-1521867</v>
      </c>
      <c r="K6" s="8">
        <f t="shared" si="1"/>
        <v>-1521867</v>
      </c>
      <c r="L6" s="8">
        <f t="shared" si="1"/>
        <v>-1521867</v>
      </c>
      <c r="M6" s="8">
        <f t="shared" si="1"/>
        <v>-1521867</v>
      </c>
      <c r="N6" s="8">
        <f t="shared" si="1"/>
        <v>-1521867</v>
      </c>
      <c r="O6" s="8">
        <f t="shared" si="1"/>
        <v>-1521867</v>
      </c>
      <c r="P6" s="8">
        <f t="shared" si="1"/>
        <v>-1521867</v>
      </c>
      <c r="R6" s="8">
        <f t="shared" ref="R6:R12" si="3">D6+D19-D32+E19-E32+F19-F32+G19-G32+H19-H32+I19-I32+J19-J32+K19-K32+L19-L32+M19-M32+N19-N32+O19-O32</f>
        <v>-1521867</v>
      </c>
      <c r="T6" s="9"/>
    </row>
    <row r="7" ht="15.75" customHeight="1">
      <c r="B7" s="7" t="s">
        <v>17</v>
      </c>
      <c r="D7" s="10">
        <v>1.9231936E7</v>
      </c>
      <c r="E7" s="8">
        <f t="shared" ref="E7:P7" si="2">D7+D20-D33</f>
        <v>15140906</v>
      </c>
      <c r="F7" s="8">
        <f t="shared" si="2"/>
        <v>8848976</v>
      </c>
      <c r="G7" s="8">
        <f t="shared" si="2"/>
        <v>73648276</v>
      </c>
      <c r="H7" s="8">
        <f t="shared" si="2"/>
        <v>55539276</v>
      </c>
      <c r="I7" s="8">
        <f t="shared" si="2"/>
        <v>23590685</v>
      </c>
      <c r="J7" s="8">
        <f t="shared" si="2"/>
        <v>10145685</v>
      </c>
      <c r="K7" s="8">
        <f t="shared" si="2"/>
        <v>2959685</v>
      </c>
      <c r="L7" s="8">
        <f t="shared" si="2"/>
        <v>-732565</v>
      </c>
      <c r="M7" s="8">
        <f t="shared" si="2"/>
        <v>-732565</v>
      </c>
      <c r="N7" s="8">
        <f t="shared" si="2"/>
        <v>65238196</v>
      </c>
      <c r="O7" s="8">
        <f t="shared" si="2"/>
        <v>39171096</v>
      </c>
      <c r="P7" s="8">
        <f t="shared" si="2"/>
        <v>844402</v>
      </c>
      <c r="R7" s="8">
        <f t="shared" si="3"/>
        <v>844402</v>
      </c>
    </row>
    <row r="8" ht="15.75" customHeight="1">
      <c r="B8" s="7" t="s">
        <v>18</v>
      </c>
      <c r="D8" s="8">
        <v>3.9568543E7</v>
      </c>
      <c r="E8" s="8">
        <f t="shared" ref="E8:P8" si="4">D8+D21-D34</f>
        <v>28758323</v>
      </c>
      <c r="F8" s="8">
        <f t="shared" si="4"/>
        <v>25038673</v>
      </c>
      <c r="G8" s="8">
        <f t="shared" si="4"/>
        <v>24579673</v>
      </c>
      <c r="H8" s="8">
        <f t="shared" si="4"/>
        <v>22921173</v>
      </c>
      <c r="I8" s="8">
        <f t="shared" si="4"/>
        <v>22232673</v>
      </c>
      <c r="J8" s="8">
        <f t="shared" si="4"/>
        <v>20675673</v>
      </c>
      <c r="K8" s="8">
        <f t="shared" si="4"/>
        <v>19199173</v>
      </c>
      <c r="L8" s="8">
        <f t="shared" si="4"/>
        <v>17411457</v>
      </c>
      <c r="M8" s="8">
        <f t="shared" si="4"/>
        <v>15614380</v>
      </c>
      <c r="N8" s="8">
        <f t="shared" si="4"/>
        <v>12590380</v>
      </c>
      <c r="O8" s="8">
        <f t="shared" si="4"/>
        <v>3741122</v>
      </c>
      <c r="P8" s="8">
        <f t="shared" si="4"/>
        <v>2487372</v>
      </c>
      <c r="R8" s="8">
        <f t="shared" si="3"/>
        <v>2487372</v>
      </c>
    </row>
    <row r="9" ht="17.25" customHeight="1">
      <c r="B9" s="7" t="s">
        <v>19</v>
      </c>
      <c r="D9" s="8">
        <v>0.0</v>
      </c>
      <c r="E9" s="8">
        <f t="shared" ref="E9:G9" si="5">D9+D22-D35</f>
        <v>0</v>
      </c>
      <c r="F9" s="8">
        <f t="shared" si="5"/>
        <v>0</v>
      </c>
      <c r="G9" s="8">
        <f t="shared" si="5"/>
        <v>0</v>
      </c>
      <c r="H9" s="8">
        <v>0.0</v>
      </c>
      <c r="I9" s="8">
        <f t="shared" ref="I9:P9" si="6">H9+H22-H35</f>
        <v>0</v>
      </c>
      <c r="J9" s="8">
        <f t="shared" si="6"/>
        <v>25243000</v>
      </c>
      <c r="K9" s="8">
        <f t="shared" si="6"/>
        <v>23752500</v>
      </c>
      <c r="L9" s="8">
        <f t="shared" si="6"/>
        <v>21415000</v>
      </c>
      <c r="M9" s="8">
        <f t="shared" si="6"/>
        <v>21415000</v>
      </c>
      <c r="N9" s="8">
        <f t="shared" si="6"/>
        <v>14415000</v>
      </c>
      <c r="O9" s="8">
        <f t="shared" si="6"/>
        <v>7017000</v>
      </c>
      <c r="P9" s="8">
        <f t="shared" si="6"/>
        <v>6953492</v>
      </c>
      <c r="R9" s="8">
        <f t="shared" si="3"/>
        <v>6953492</v>
      </c>
    </row>
    <row r="10" ht="15.75" customHeight="1">
      <c r="B10" s="7" t="s">
        <v>20</v>
      </c>
      <c r="D10" s="8">
        <v>0.0</v>
      </c>
      <c r="E10" s="8">
        <f t="shared" ref="E10:G10" si="7">D10+D23-D36</f>
        <v>0</v>
      </c>
      <c r="F10" s="8">
        <f t="shared" si="7"/>
        <v>0</v>
      </c>
      <c r="G10" s="8">
        <f t="shared" si="7"/>
        <v>0</v>
      </c>
      <c r="H10" s="8">
        <v>0.0</v>
      </c>
      <c r="I10" s="8">
        <f t="shared" ref="I10:P10" si="8">H10+H23-H36</f>
        <v>0</v>
      </c>
      <c r="J10" s="8">
        <f t="shared" si="8"/>
        <v>25400000</v>
      </c>
      <c r="K10" s="8">
        <f t="shared" si="8"/>
        <v>12830772</v>
      </c>
      <c r="L10" s="8">
        <f t="shared" si="8"/>
        <v>12555772</v>
      </c>
      <c r="M10" s="8">
        <f t="shared" si="8"/>
        <v>9555772</v>
      </c>
      <c r="N10" s="8">
        <f t="shared" si="8"/>
        <v>5850996</v>
      </c>
      <c r="O10" s="8">
        <f t="shared" si="8"/>
        <v>5850996</v>
      </c>
      <c r="P10" s="8">
        <f t="shared" si="8"/>
        <v>5850996</v>
      </c>
      <c r="R10" s="8">
        <f t="shared" si="3"/>
        <v>5850996</v>
      </c>
    </row>
    <row r="11" ht="15.75" customHeight="1">
      <c r="B11" s="7" t="s">
        <v>21</v>
      </c>
      <c r="D11" s="8">
        <v>0.0</v>
      </c>
      <c r="E11" s="8">
        <f t="shared" ref="E11:G11" si="9">D11+D24-D37</f>
        <v>0</v>
      </c>
      <c r="F11" s="8">
        <f t="shared" si="9"/>
        <v>0</v>
      </c>
      <c r="G11" s="8">
        <f t="shared" si="9"/>
        <v>0</v>
      </c>
      <c r="H11" s="8">
        <v>0.0</v>
      </c>
      <c r="I11" s="8">
        <f t="shared" ref="I11:P11" si="10">H11+H24-H37</f>
        <v>0</v>
      </c>
      <c r="J11" s="8">
        <f t="shared" si="10"/>
        <v>42200000</v>
      </c>
      <c r="K11" s="8">
        <f t="shared" si="10"/>
        <v>23901500</v>
      </c>
      <c r="L11" s="8">
        <f t="shared" si="10"/>
        <v>22264750</v>
      </c>
      <c r="M11" s="8">
        <f t="shared" si="10"/>
        <v>16179750</v>
      </c>
      <c r="N11" s="8">
        <f t="shared" si="10"/>
        <v>11857230</v>
      </c>
      <c r="O11" s="8">
        <f t="shared" si="10"/>
        <v>11603230</v>
      </c>
      <c r="P11" s="8">
        <f t="shared" si="10"/>
        <v>6778000</v>
      </c>
      <c r="R11" s="8">
        <f t="shared" si="3"/>
        <v>6778000</v>
      </c>
    </row>
    <row r="12" ht="15.75" customHeight="1">
      <c r="B12" s="7" t="s">
        <v>22</v>
      </c>
      <c r="D12" s="8">
        <v>0.0</v>
      </c>
      <c r="E12" s="8">
        <f t="shared" ref="E12:G12" si="11">D12+D25-D38</f>
        <v>0</v>
      </c>
      <c r="F12" s="8">
        <f t="shared" si="11"/>
        <v>0</v>
      </c>
      <c r="G12" s="8">
        <f t="shared" si="11"/>
        <v>0</v>
      </c>
      <c r="H12" s="8">
        <v>0.0</v>
      </c>
      <c r="I12" s="8">
        <f t="shared" ref="I12:P12" si="12">H12+H25-H38</f>
        <v>0</v>
      </c>
      <c r="J12" s="8">
        <f t="shared" si="12"/>
        <v>15867000</v>
      </c>
      <c r="K12" s="8">
        <f t="shared" si="12"/>
        <v>8202439</v>
      </c>
      <c r="L12" s="8">
        <f t="shared" si="12"/>
        <v>8122439</v>
      </c>
      <c r="M12" s="8">
        <f t="shared" si="12"/>
        <v>5916439</v>
      </c>
      <c r="N12" s="8">
        <f t="shared" si="12"/>
        <v>5916439</v>
      </c>
      <c r="O12" s="8">
        <f t="shared" si="12"/>
        <v>5191439</v>
      </c>
      <c r="P12" s="8">
        <f t="shared" si="12"/>
        <v>5191439</v>
      </c>
      <c r="R12" s="8">
        <f t="shared" si="3"/>
        <v>5191439</v>
      </c>
    </row>
    <row r="13" ht="15.75" customHeight="1">
      <c r="B13" s="7" t="s">
        <v>23</v>
      </c>
      <c r="D13" s="8">
        <v>0.0</v>
      </c>
      <c r="E13" s="8">
        <f t="shared" ref="E13:G13" si="13">D13+D26-D39</f>
        <v>0</v>
      </c>
      <c r="F13" s="8">
        <f t="shared" si="13"/>
        <v>0</v>
      </c>
      <c r="G13" s="8">
        <f t="shared" si="13"/>
        <v>0</v>
      </c>
      <c r="H13" s="8">
        <v>0.0</v>
      </c>
      <c r="I13" s="8">
        <f t="shared" ref="I13:P13" si="14">H13+H26-H39</f>
        <v>0</v>
      </c>
      <c r="J13" s="8">
        <f t="shared" si="14"/>
        <v>28950000</v>
      </c>
      <c r="K13" s="8">
        <f t="shared" si="14"/>
        <v>24470184</v>
      </c>
      <c r="L13" s="8">
        <f t="shared" si="14"/>
        <v>23264434</v>
      </c>
      <c r="M13" s="8">
        <f t="shared" si="14"/>
        <v>11589437</v>
      </c>
      <c r="N13" s="8">
        <f t="shared" si="14"/>
        <v>5914637</v>
      </c>
      <c r="O13" s="8">
        <f t="shared" si="14"/>
        <v>3859387</v>
      </c>
      <c r="P13" s="8">
        <f t="shared" si="14"/>
        <v>2702567</v>
      </c>
      <c r="R13" s="8">
        <f>D13+D26-D39+E26-E39+F26-F39+G26-G39+H26-H39+I26-I39+J26-J39+K26-K39+L26-L39+M26-M39+N26+O26-N39-O39</f>
        <v>2702567</v>
      </c>
    </row>
    <row r="14" ht="16.5" customHeight="1">
      <c r="B14" s="1" t="s">
        <v>24</v>
      </c>
      <c r="D14" s="10">
        <v>2.6437171E7</v>
      </c>
      <c r="E14" s="8">
        <f t="shared" ref="E14:E15" si="16">D14-D40</f>
        <v>25861753</v>
      </c>
      <c r="F14" s="8">
        <f t="shared" ref="F14:P14" si="15">E14+E27-E40</f>
        <v>101026484</v>
      </c>
      <c r="G14" s="8">
        <f t="shared" si="15"/>
        <v>92127501</v>
      </c>
      <c r="H14" s="8">
        <f t="shared" si="15"/>
        <v>40830312</v>
      </c>
      <c r="I14" s="8">
        <f t="shared" si="15"/>
        <v>35269194</v>
      </c>
      <c r="J14" s="8">
        <f t="shared" si="15"/>
        <v>112413832</v>
      </c>
      <c r="K14" s="8">
        <f t="shared" si="15"/>
        <v>84805134</v>
      </c>
      <c r="L14" s="8">
        <f t="shared" si="15"/>
        <v>71659153</v>
      </c>
      <c r="M14" s="8">
        <f t="shared" si="15"/>
        <v>69186003</v>
      </c>
      <c r="N14" s="8">
        <f t="shared" si="15"/>
        <v>52490453</v>
      </c>
      <c r="O14" s="8">
        <f t="shared" si="15"/>
        <v>51107703</v>
      </c>
      <c r="P14" s="8">
        <f t="shared" si="15"/>
        <v>19116522</v>
      </c>
      <c r="R14" s="8">
        <f t="shared" ref="R14:R15" si="18">D14+D27-D40+E27-E40+F27-F40+G27-G40+H27-H40+I27-I40+J27-J40+K27-K40+L27-L40+M27-M40+N27-N40+O27-O40</f>
        <v>19116522</v>
      </c>
    </row>
    <row r="15" ht="16.5" customHeight="1">
      <c r="B15" s="1" t="s">
        <v>24</v>
      </c>
      <c r="D15" s="10"/>
      <c r="E15" s="8">
        <f t="shared" si="16"/>
        <v>0</v>
      </c>
      <c r="F15" s="8">
        <f t="shared" ref="F15:P15" si="17">E15+E28-E41</f>
        <v>0</v>
      </c>
      <c r="G15" s="8">
        <f t="shared" si="17"/>
        <v>0</v>
      </c>
      <c r="H15" s="8">
        <f t="shared" si="17"/>
        <v>0</v>
      </c>
      <c r="I15" s="8">
        <f t="shared" si="17"/>
        <v>0</v>
      </c>
      <c r="J15" s="8">
        <f t="shared" si="17"/>
        <v>0</v>
      </c>
      <c r="K15" s="8">
        <f t="shared" si="17"/>
        <v>0</v>
      </c>
      <c r="L15" s="8">
        <f t="shared" si="17"/>
        <v>54000000</v>
      </c>
      <c r="M15" s="8">
        <f t="shared" si="17"/>
        <v>49815500</v>
      </c>
      <c r="N15" s="8">
        <f t="shared" si="17"/>
        <v>49815500</v>
      </c>
      <c r="O15" s="8">
        <f t="shared" si="17"/>
        <v>47929000</v>
      </c>
      <c r="P15" s="8">
        <f t="shared" si="17"/>
        <v>47727725</v>
      </c>
      <c r="R15" s="8">
        <f t="shared" si="18"/>
        <v>47727725</v>
      </c>
    </row>
    <row r="16" ht="16.5" customHeight="1">
      <c r="B16" s="1" t="s">
        <v>25</v>
      </c>
      <c r="D16" s="8">
        <f t="shared" ref="D16:P16" si="19">SUM(D6:D14)</f>
        <v>94698183</v>
      </c>
      <c r="E16" s="8">
        <f t="shared" si="19"/>
        <v>74362115</v>
      </c>
      <c r="F16" s="8">
        <f t="shared" si="19"/>
        <v>136903266</v>
      </c>
      <c r="G16" s="8">
        <f t="shared" si="19"/>
        <v>188833583</v>
      </c>
      <c r="H16" s="8">
        <f t="shared" si="19"/>
        <v>117768894</v>
      </c>
      <c r="I16" s="8">
        <f t="shared" si="19"/>
        <v>79570685</v>
      </c>
      <c r="J16" s="8">
        <f t="shared" si="19"/>
        <v>279373323</v>
      </c>
      <c r="K16" s="8">
        <f t="shared" si="19"/>
        <v>198599520</v>
      </c>
      <c r="L16" s="8">
        <f t="shared" si="19"/>
        <v>174438573</v>
      </c>
      <c r="M16" s="8">
        <f t="shared" si="19"/>
        <v>147202349</v>
      </c>
      <c r="N16" s="8">
        <f t="shared" si="19"/>
        <v>172751464</v>
      </c>
      <c r="O16" s="8">
        <f t="shared" si="19"/>
        <v>126020106</v>
      </c>
      <c r="P16" s="8">
        <f t="shared" si="19"/>
        <v>48402923</v>
      </c>
      <c r="R16" s="8">
        <f>sum(R6:R14)</f>
        <v>48402923</v>
      </c>
    </row>
    <row r="17" ht="15.75" customHeight="1"/>
    <row r="18" ht="15.75" customHeight="1">
      <c r="B18" s="11" t="s">
        <v>26</v>
      </c>
      <c r="D18" s="11" t="s">
        <v>27</v>
      </c>
      <c r="E18" s="11" t="s">
        <v>4</v>
      </c>
      <c r="F18" s="11" t="s">
        <v>5</v>
      </c>
      <c r="G18" s="11" t="s">
        <v>28</v>
      </c>
      <c r="H18" s="11" t="s">
        <v>29</v>
      </c>
      <c r="I18" s="11" t="s">
        <v>8</v>
      </c>
      <c r="J18" s="11" t="s">
        <v>9</v>
      </c>
      <c r="K18" s="11" t="s">
        <v>10</v>
      </c>
      <c r="L18" s="11" t="s">
        <v>11</v>
      </c>
      <c r="M18" s="11" t="s">
        <v>30</v>
      </c>
      <c r="N18" s="11" t="s">
        <v>13</v>
      </c>
      <c r="O18" s="11" t="s">
        <v>31</v>
      </c>
      <c r="P18" s="12"/>
      <c r="R18" s="13" t="s">
        <v>25</v>
      </c>
    </row>
    <row r="19" ht="15.75" customHeight="1">
      <c r="B19" s="7" t="s">
        <v>16</v>
      </c>
      <c r="D19" s="14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/>
      <c r="R19" s="14">
        <f t="shared" ref="R19:R29" si="20">SUM(D19:O19)</f>
        <v>0</v>
      </c>
    </row>
    <row r="20" ht="15.75" customHeight="1">
      <c r="B20" s="7" t="s">
        <v>17</v>
      </c>
      <c r="D20" s="1">
        <v>0.0</v>
      </c>
      <c r="E20" s="1">
        <v>0.0</v>
      </c>
      <c r="F20" s="15">
        <v>6.47993E7</v>
      </c>
      <c r="G20" s="1">
        <v>0.0</v>
      </c>
      <c r="H20" s="15"/>
      <c r="I20" s="16">
        <v>0.0</v>
      </c>
      <c r="J20" s="1">
        <v>0.0</v>
      </c>
      <c r="K20" s="1">
        <v>0.0</v>
      </c>
      <c r="L20" s="1">
        <v>0.0</v>
      </c>
      <c r="M20" s="17">
        <v>7.3711511E7</v>
      </c>
      <c r="N20" s="1">
        <v>0.0</v>
      </c>
      <c r="O20" s="1">
        <v>0.0</v>
      </c>
      <c r="P20" s="1"/>
      <c r="R20" s="18">
        <f t="shared" si="20"/>
        <v>138510811</v>
      </c>
    </row>
    <row r="21" ht="16.5" customHeight="1">
      <c r="B21" s="7" t="s">
        <v>18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/>
      <c r="R21" s="18">
        <f t="shared" si="20"/>
        <v>0</v>
      </c>
    </row>
    <row r="22" ht="15.75" customHeight="1">
      <c r="B22" s="7" t="s">
        <v>19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5">
        <v>2.5243E7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/>
      <c r="R22" s="18">
        <f t="shared" si="20"/>
        <v>25243000</v>
      </c>
    </row>
    <row r="23" ht="15.75" customHeight="1">
      <c r="B23" s="7" t="s">
        <v>20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5">
        <v>2.54E7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/>
      <c r="R23" s="18">
        <f t="shared" si="20"/>
        <v>25400000</v>
      </c>
    </row>
    <row r="24" ht="15.75" customHeight="1">
      <c r="B24" s="7" t="s">
        <v>21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5">
        <v>4.22E7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/>
      <c r="R24" s="18">
        <f t="shared" si="20"/>
        <v>42200000</v>
      </c>
    </row>
    <row r="25" ht="15.75" customHeight="1">
      <c r="B25" s="7" t="s">
        <v>22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5">
        <v>1.5867E7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/>
      <c r="R25" s="18">
        <f t="shared" si="20"/>
        <v>15867000</v>
      </c>
    </row>
    <row r="26" ht="15.75" customHeight="1">
      <c r="B26" s="7" t="s">
        <v>23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5">
        <v>2.895E7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/>
      <c r="R26" s="18">
        <f t="shared" si="20"/>
        <v>28950000</v>
      </c>
    </row>
    <row r="27" ht="15.75" customHeight="1">
      <c r="B27" s="19" t="s">
        <v>32</v>
      </c>
      <c r="D27" s="14">
        <v>0.0</v>
      </c>
      <c r="E27" s="14">
        <v>8.9275E7</v>
      </c>
      <c r="F27" s="14">
        <v>0.0</v>
      </c>
      <c r="G27" s="14">
        <v>0.0</v>
      </c>
      <c r="H27" s="14">
        <v>0.0</v>
      </c>
      <c r="I27" s="20">
        <v>8.4783E7</v>
      </c>
      <c r="J27" s="14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/>
      <c r="Q27" s="14"/>
      <c r="R27" s="18">
        <f t="shared" si="20"/>
        <v>174058000</v>
      </c>
      <c r="T27" s="18"/>
    </row>
    <row r="28" ht="15.75" customHeight="1">
      <c r="B28" s="21" t="s">
        <v>33</v>
      </c>
      <c r="D28" s="17">
        <v>0.0</v>
      </c>
      <c r="E28" s="17">
        <v>0.0</v>
      </c>
      <c r="F28" s="17">
        <v>0.0</v>
      </c>
      <c r="G28" s="17">
        <v>0.0</v>
      </c>
      <c r="H28" s="17">
        <v>0.0</v>
      </c>
      <c r="I28" s="17">
        <v>0.0</v>
      </c>
      <c r="J28" s="17">
        <v>0.0</v>
      </c>
      <c r="K28" s="17">
        <v>5.4E7</v>
      </c>
      <c r="L28" s="17">
        <v>0.0</v>
      </c>
      <c r="M28" s="17">
        <v>0.0</v>
      </c>
      <c r="N28" s="17">
        <v>0.0</v>
      </c>
      <c r="O28" s="17">
        <v>0.0</v>
      </c>
      <c r="P28" s="17"/>
      <c r="Q28" s="14"/>
      <c r="R28" s="18">
        <f t="shared" si="20"/>
        <v>54000000</v>
      </c>
    </row>
    <row r="29" ht="15.75" customHeight="1">
      <c r="B29" s="19" t="s">
        <v>25</v>
      </c>
      <c r="D29" s="22">
        <f t="shared" ref="D29:F29" si="21">SUM(D19:D28)</f>
        <v>0</v>
      </c>
      <c r="E29" s="22">
        <f t="shared" si="21"/>
        <v>89275000</v>
      </c>
      <c r="F29" s="22">
        <f t="shared" si="21"/>
        <v>64799300</v>
      </c>
      <c r="G29" s="22">
        <v>0.0</v>
      </c>
      <c r="H29" s="22">
        <f t="shared" ref="H29:O29" si="22">SUM(H19:H28)</f>
        <v>0</v>
      </c>
      <c r="I29" s="22">
        <f t="shared" si="22"/>
        <v>222443000</v>
      </c>
      <c r="J29" s="22">
        <f t="shared" si="22"/>
        <v>0</v>
      </c>
      <c r="K29" s="22">
        <f t="shared" si="22"/>
        <v>54000000</v>
      </c>
      <c r="L29" s="22">
        <f t="shared" si="22"/>
        <v>0</v>
      </c>
      <c r="M29" s="22">
        <f t="shared" si="22"/>
        <v>73711511</v>
      </c>
      <c r="N29" s="22">
        <f t="shared" si="22"/>
        <v>0</v>
      </c>
      <c r="O29" s="22">
        <f t="shared" si="22"/>
        <v>0</v>
      </c>
      <c r="P29" s="14"/>
      <c r="Q29" s="14"/>
      <c r="R29" s="18">
        <f t="shared" si="20"/>
        <v>504228811</v>
      </c>
    </row>
    <row r="30" ht="15.75" customHeight="1"/>
    <row r="31" ht="15.75" customHeight="1">
      <c r="B31" s="23" t="s">
        <v>34</v>
      </c>
      <c r="D31" s="23" t="s">
        <v>27</v>
      </c>
      <c r="E31" s="23" t="s">
        <v>4</v>
      </c>
      <c r="F31" s="23" t="s">
        <v>5</v>
      </c>
      <c r="G31" s="23" t="s">
        <v>28</v>
      </c>
      <c r="H31" s="23" t="s">
        <v>29</v>
      </c>
      <c r="I31" s="23" t="s">
        <v>8</v>
      </c>
      <c r="J31" s="23" t="s">
        <v>9</v>
      </c>
      <c r="K31" s="23" t="s">
        <v>10</v>
      </c>
      <c r="L31" s="23" t="s">
        <v>11</v>
      </c>
      <c r="M31" s="23" t="s">
        <v>30</v>
      </c>
      <c r="N31" s="23" t="s">
        <v>13</v>
      </c>
      <c r="O31" s="23" t="s">
        <v>31</v>
      </c>
      <c r="P31" s="24"/>
      <c r="R31" s="25" t="s">
        <v>25</v>
      </c>
    </row>
    <row r="32" ht="15.75" customHeight="1">
      <c r="B32" s="7" t="s">
        <v>16</v>
      </c>
      <c r="D32" s="26">
        <v>4859400.0</v>
      </c>
      <c r="E32" s="26">
        <v>2612000.0</v>
      </c>
      <c r="F32" s="27">
        <v>3511000.0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/>
      <c r="R32" s="14">
        <f t="shared" ref="R32:R41" si="23">SUM(D32:O32)</f>
        <v>10982400</v>
      </c>
    </row>
    <row r="33" ht="15.75" customHeight="1">
      <c r="B33" s="7" t="s">
        <v>17</v>
      </c>
      <c r="D33" s="26">
        <v>4091030.0</v>
      </c>
      <c r="E33" s="26">
        <f>6291930</f>
        <v>6291930</v>
      </c>
      <c r="F33" s="1">
        <v>0.0</v>
      </c>
      <c r="G33" s="15">
        <v>1.8109E7</v>
      </c>
      <c r="H33" s="18">
        <v>3.1948591E7</v>
      </c>
      <c r="I33" s="15">
        <v>1.3445E7</v>
      </c>
      <c r="J33" s="15">
        <v>7186000.0</v>
      </c>
      <c r="K33" s="27">
        <v>3692250.0</v>
      </c>
      <c r="L33" s="1">
        <v>0.0</v>
      </c>
      <c r="M33" s="27">
        <v>7740750.0</v>
      </c>
      <c r="N33" s="27">
        <v>2.60671E7</v>
      </c>
      <c r="O33" s="27">
        <f>22097680+16229014</f>
        <v>38326694</v>
      </c>
      <c r="P33" s="1"/>
      <c r="R33" s="14">
        <f t="shared" si="23"/>
        <v>156898345</v>
      </c>
    </row>
    <row r="34" ht="15.75" customHeight="1">
      <c r="B34" s="7" t="s">
        <v>18</v>
      </c>
      <c r="D34" s="28">
        <v>1.081022E7</v>
      </c>
      <c r="E34" s="28">
        <v>3719650.0</v>
      </c>
      <c r="F34" s="18">
        <v>459000.0</v>
      </c>
      <c r="G34" s="15">
        <v>1658500.0</v>
      </c>
      <c r="H34" s="15">
        <v>688500.0</v>
      </c>
      <c r="I34" s="29">
        <v>1557000.0</v>
      </c>
      <c r="J34" s="15">
        <v>1476500.0</v>
      </c>
      <c r="K34" s="27">
        <v>1787716.0</v>
      </c>
      <c r="L34" s="27">
        <f>265077+1532000</f>
        <v>1797077</v>
      </c>
      <c r="M34" s="27">
        <v>3024000.0</v>
      </c>
      <c r="N34" s="27">
        <v>8849258.0</v>
      </c>
      <c r="O34" s="27">
        <v>1253750.0</v>
      </c>
      <c r="R34" s="14">
        <f t="shared" si="23"/>
        <v>37081171</v>
      </c>
    </row>
    <row r="35" ht="16.5" customHeight="1">
      <c r="B35" s="7" t="s">
        <v>19</v>
      </c>
      <c r="D35" s="26">
        <v>0.0</v>
      </c>
      <c r="E35" s="1">
        <v>0.0</v>
      </c>
      <c r="F35" s="1">
        <v>0.0</v>
      </c>
      <c r="H35" s="30">
        <v>0.0</v>
      </c>
      <c r="J35" s="15">
        <v>1490500.0</v>
      </c>
      <c r="K35" s="27">
        <v>2337500.0</v>
      </c>
      <c r="L35" s="31">
        <v>0.0</v>
      </c>
      <c r="M35" s="27">
        <v>7000000.0</v>
      </c>
      <c r="N35" s="27">
        <v>7398000.0</v>
      </c>
      <c r="O35" s="27">
        <v>63508.0</v>
      </c>
      <c r="R35" s="14">
        <f t="shared" si="23"/>
        <v>18289508</v>
      </c>
      <c r="S35" s="32"/>
    </row>
    <row r="36" ht="15.0" customHeight="1">
      <c r="B36" s="7" t="s">
        <v>20</v>
      </c>
      <c r="D36" s="26">
        <v>0.0</v>
      </c>
      <c r="E36" s="1">
        <v>0.0</v>
      </c>
      <c r="F36" s="1">
        <v>0.0</v>
      </c>
      <c r="H36" s="30">
        <v>0.0</v>
      </c>
      <c r="I36" s="2"/>
      <c r="J36" s="15">
        <v>1.2569228E7</v>
      </c>
      <c r="K36" s="27">
        <v>275000.0</v>
      </c>
      <c r="L36" s="27">
        <v>3000000.0</v>
      </c>
      <c r="M36" s="27">
        <v>3704776.0</v>
      </c>
      <c r="N36" s="27">
        <v>0.0</v>
      </c>
      <c r="O36" s="27">
        <v>0.0</v>
      </c>
      <c r="R36" s="14">
        <f t="shared" si="23"/>
        <v>19549004</v>
      </c>
      <c r="S36" s="32"/>
    </row>
    <row r="37" ht="15.75" customHeight="1">
      <c r="B37" s="7" t="s">
        <v>21</v>
      </c>
      <c r="D37" s="26">
        <v>0.0</v>
      </c>
      <c r="E37" s="1">
        <v>0.0</v>
      </c>
      <c r="F37" s="1">
        <v>0.0</v>
      </c>
      <c r="H37" s="33"/>
      <c r="I37" s="33"/>
      <c r="J37" s="15">
        <f>17881000+417500</f>
        <v>18298500</v>
      </c>
      <c r="K37" s="27">
        <v>1636750.0</v>
      </c>
      <c r="L37" s="27">
        <v>6085000.0</v>
      </c>
      <c r="M37" s="27">
        <v>4322520.0</v>
      </c>
      <c r="N37" s="27">
        <v>254000.0</v>
      </c>
      <c r="O37" s="27">
        <v>4825230.0</v>
      </c>
      <c r="R37" s="14">
        <f t="shared" si="23"/>
        <v>35422000</v>
      </c>
      <c r="S37" s="32"/>
    </row>
    <row r="38" ht="15.75" customHeight="1">
      <c r="B38" s="7" t="s">
        <v>22</v>
      </c>
      <c r="D38" s="26">
        <v>0.0</v>
      </c>
      <c r="E38" s="1">
        <v>0.0</v>
      </c>
      <c r="F38" s="1">
        <v>0.0</v>
      </c>
      <c r="H38" s="30">
        <v>0.0</v>
      </c>
      <c r="J38" s="15">
        <v>7664561.0</v>
      </c>
      <c r="K38" s="27">
        <v>80000.0</v>
      </c>
      <c r="L38" s="27">
        <f>2106000+100000</f>
        <v>2206000</v>
      </c>
      <c r="M38" s="27">
        <v>0.0</v>
      </c>
      <c r="N38" s="27">
        <v>725000.0</v>
      </c>
      <c r="O38" s="27">
        <v>0.0</v>
      </c>
      <c r="R38" s="14">
        <f t="shared" si="23"/>
        <v>10675561</v>
      </c>
      <c r="S38" s="32"/>
    </row>
    <row r="39" ht="15.75" customHeight="1">
      <c r="B39" s="7" t="s">
        <v>23</v>
      </c>
      <c r="D39" s="26">
        <v>0.0</v>
      </c>
      <c r="E39" s="1">
        <v>0.0</v>
      </c>
      <c r="F39" s="1">
        <v>0.0</v>
      </c>
      <c r="H39" s="30">
        <v>0.0</v>
      </c>
      <c r="J39" s="15">
        <v>4479816.0</v>
      </c>
      <c r="K39" s="27">
        <v>1205750.0</v>
      </c>
      <c r="L39" s="27">
        <v>1.1674997E7</v>
      </c>
      <c r="M39" s="27">
        <v>5674800.0</v>
      </c>
      <c r="N39" s="27">
        <v>2055250.0</v>
      </c>
      <c r="O39" s="27">
        <v>1156820.0</v>
      </c>
      <c r="R39" s="14">
        <f t="shared" si="23"/>
        <v>26247433</v>
      </c>
      <c r="S39" s="32"/>
    </row>
    <row r="40" ht="15.75" customHeight="1">
      <c r="B40" s="1" t="s">
        <v>24</v>
      </c>
      <c r="D40" s="27">
        <v>575418.0</v>
      </c>
      <c r="E40" s="27">
        <v>1.4110269E7</v>
      </c>
      <c r="F40" s="27">
        <v>8898983.0</v>
      </c>
      <c r="G40" s="27">
        <v>5.1297189E7</v>
      </c>
      <c r="H40" s="26">
        <v>5561118.0</v>
      </c>
      <c r="I40" s="27">
        <v>7638362.0</v>
      </c>
      <c r="J40" s="15">
        <v>2.7608698E7</v>
      </c>
      <c r="K40" s="27">
        <v>1.3145981E7</v>
      </c>
      <c r="L40" s="27">
        <v>2473150.0</v>
      </c>
      <c r="M40" s="27">
        <v>1.669555E7</v>
      </c>
      <c r="N40" s="27">
        <f>3269250-N41</f>
        <v>1382750</v>
      </c>
      <c r="O40" s="27">
        <v>3.1991181E7</v>
      </c>
      <c r="R40" s="14">
        <f t="shared" si="23"/>
        <v>181378649</v>
      </c>
    </row>
    <row r="41" ht="15.75" customHeight="1">
      <c r="B41" s="34" t="s">
        <v>33</v>
      </c>
      <c r="D41" s="27">
        <v>0.0</v>
      </c>
      <c r="E41" s="27">
        <v>0.0</v>
      </c>
      <c r="F41" s="27">
        <v>0.0</v>
      </c>
      <c r="G41" s="27">
        <v>0.0</v>
      </c>
      <c r="H41" s="27">
        <v>0.0</v>
      </c>
      <c r="I41" s="27">
        <v>0.0</v>
      </c>
      <c r="J41" s="27">
        <v>0.0</v>
      </c>
      <c r="K41" s="27">
        <v>0.0</v>
      </c>
      <c r="L41" s="27">
        <v>4184500.0</v>
      </c>
      <c r="M41" s="27"/>
      <c r="N41" s="27">
        <v>1886500.0</v>
      </c>
      <c r="O41" s="27">
        <v>201275.0</v>
      </c>
      <c r="R41" s="14">
        <f t="shared" si="23"/>
        <v>6272275</v>
      </c>
      <c r="S41" s="32"/>
    </row>
    <row r="42" ht="15.75" customHeight="1">
      <c r="B42" s="1" t="s">
        <v>25</v>
      </c>
      <c r="D42" s="14">
        <f t="shared" ref="D42:O42" si="24">SUM(D32:D41)</f>
        <v>20336068</v>
      </c>
      <c r="E42" s="14">
        <f t="shared" si="24"/>
        <v>26733849</v>
      </c>
      <c r="F42" s="14">
        <f t="shared" si="24"/>
        <v>12868983</v>
      </c>
      <c r="G42" s="14">
        <f t="shared" si="24"/>
        <v>71064689</v>
      </c>
      <c r="H42" s="14">
        <f t="shared" si="24"/>
        <v>38198209</v>
      </c>
      <c r="I42" s="15">
        <f t="shared" si="24"/>
        <v>22640362</v>
      </c>
      <c r="J42" s="15">
        <f t="shared" si="24"/>
        <v>80773803</v>
      </c>
      <c r="K42" s="15">
        <f t="shared" si="24"/>
        <v>24160947</v>
      </c>
      <c r="L42" s="15">
        <f t="shared" si="24"/>
        <v>31420724</v>
      </c>
      <c r="M42" s="27">
        <f t="shared" si="24"/>
        <v>48162396</v>
      </c>
      <c r="N42" s="27">
        <f t="shared" si="24"/>
        <v>48617858</v>
      </c>
      <c r="O42" s="27">
        <f t="shared" si="24"/>
        <v>77818458</v>
      </c>
      <c r="P42" s="1"/>
      <c r="R42" s="14">
        <f>SUM(R32:R41)</f>
        <v>502796346</v>
      </c>
    </row>
    <row r="43" ht="15.75" customHeight="1"/>
    <row r="44" ht="15.75" customHeight="1"/>
    <row r="45" ht="15.75" customHeight="1"/>
    <row r="46" ht="15.75" customHeight="1">
      <c r="B46" s="31" t="s">
        <v>35</v>
      </c>
      <c r="J46" s="35">
        <f t="shared" ref="J46:L46" si="25">sum(J34:J39)</f>
        <v>45979105</v>
      </c>
      <c r="K46" s="9">
        <f t="shared" si="25"/>
        <v>7322716</v>
      </c>
      <c r="L46" s="9">
        <f t="shared" si="25"/>
        <v>24763074</v>
      </c>
      <c r="M46" s="35">
        <f>sum(J46:L46)</f>
        <v>78064895</v>
      </c>
    </row>
    <row r="47" ht="15.75" customHeight="1">
      <c r="B47" s="36" t="s">
        <v>34</v>
      </c>
      <c r="D47" s="37" t="s">
        <v>36</v>
      </c>
      <c r="E47" s="37" t="s">
        <v>37</v>
      </c>
      <c r="F47" s="37" t="s">
        <v>38</v>
      </c>
      <c r="G47" s="37" t="s">
        <v>39</v>
      </c>
      <c r="H47" s="37" t="s">
        <v>40</v>
      </c>
      <c r="I47" s="37" t="s">
        <v>41</v>
      </c>
      <c r="J47" s="37" t="s">
        <v>42</v>
      </c>
      <c r="K47" s="37" t="s">
        <v>43</v>
      </c>
      <c r="L47" s="37" t="s">
        <v>44</v>
      </c>
      <c r="M47" s="37" t="s">
        <v>45</v>
      </c>
      <c r="N47" s="37" t="s">
        <v>46</v>
      </c>
      <c r="O47" s="37" t="s">
        <v>47</v>
      </c>
      <c r="P47" s="38"/>
    </row>
    <row r="48" ht="15.75" customHeight="1">
      <c r="B48" s="7" t="s">
        <v>16</v>
      </c>
      <c r="D48" s="26">
        <f t="shared" ref="D48:D58" si="27">D32</f>
        <v>4859400</v>
      </c>
      <c r="E48" s="26">
        <f t="shared" ref="E48:O48" si="26">D48+E32</f>
        <v>7471400</v>
      </c>
      <c r="F48" s="26">
        <f t="shared" si="26"/>
        <v>10982400</v>
      </c>
      <c r="G48" s="26">
        <f t="shared" si="26"/>
        <v>10982400</v>
      </c>
      <c r="H48" s="26">
        <f t="shared" si="26"/>
        <v>10982400</v>
      </c>
      <c r="I48" s="26">
        <f t="shared" si="26"/>
        <v>10982400</v>
      </c>
      <c r="J48" s="26">
        <f t="shared" si="26"/>
        <v>10982400</v>
      </c>
      <c r="K48" s="26">
        <f t="shared" si="26"/>
        <v>10982400</v>
      </c>
      <c r="L48" s="26">
        <f t="shared" si="26"/>
        <v>10982400</v>
      </c>
      <c r="M48" s="26">
        <f t="shared" si="26"/>
        <v>10982400</v>
      </c>
      <c r="N48" s="26">
        <f t="shared" si="26"/>
        <v>10982400</v>
      </c>
      <c r="O48" s="26">
        <f t="shared" si="26"/>
        <v>10982400</v>
      </c>
      <c r="P48" s="26"/>
    </row>
    <row r="49" ht="15.75" customHeight="1">
      <c r="B49" s="7" t="s">
        <v>17</v>
      </c>
      <c r="D49" s="26">
        <f t="shared" si="27"/>
        <v>4091030</v>
      </c>
      <c r="E49" s="26">
        <f t="shared" ref="E49:O49" si="28">D49+E33</f>
        <v>10382960</v>
      </c>
      <c r="F49" s="26">
        <f t="shared" si="28"/>
        <v>10382960</v>
      </c>
      <c r="G49" s="26">
        <f t="shared" si="28"/>
        <v>28491960</v>
      </c>
      <c r="H49" s="26">
        <f t="shared" si="28"/>
        <v>60440551</v>
      </c>
      <c r="I49" s="26">
        <f t="shared" si="28"/>
        <v>73885551</v>
      </c>
      <c r="J49" s="26">
        <f t="shared" si="28"/>
        <v>81071551</v>
      </c>
      <c r="K49" s="26">
        <f t="shared" si="28"/>
        <v>84763801</v>
      </c>
      <c r="L49" s="26">
        <f t="shared" si="28"/>
        <v>84763801</v>
      </c>
      <c r="M49" s="26">
        <f t="shared" si="28"/>
        <v>92504551</v>
      </c>
      <c r="N49" s="26">
        <f t="shared" si="28"/>
        <v>118571651</v>
      </c>
      <c r="O49" s="26">
        <f t="shared" si="28"/>
        <v>156898345</v>
      </c>
      <c r="P49" s="26"/>
    </row>
    <row r="50" ht="15.75" customHeight="1">
      <c r="B50" s="7" t="s">
        <v>18</v>
      </c>
      <c r="D50" s="26">
        <f t="shared" si="27"/>
        <v>10810220</v>
      </c>
      <c r="E50" s="26">
        <f t="shared" ref="E50:O50" si="29">D50+E34</f>
        <v>14529870</v>
      </c>
      <c r="F50" s="26">
        <f t="shared" si="29"/>
        <v>14988870</v>
      </c>
      <c r="G50" s="26">
        <f t="shared" si="29"/>
        <v>16647370</v>
      </c>
      <c r="H50" s="26">
        <f t="shared" si="29"/>
        <v>17335870</v>
      </c>
      <c r="I50" s="26">
        <f t="shared" si="29"/>
        <v>18892870</v>
      </c>
      <c r="J50" s="26">
        <f t="shared" si="29"/>
        <v>20369370</v>
      </c>
      <c r="K50" s="26">
        <f t="shared" si="29"/>
        <v>22157086</v>
      </c>
      <c r="L50" s="26">
        <f t="shared" si="29"/>
        <v>23954163</v>
      </c>
      <c r="M50" s="26">
        <f t="shared" si="29"/>
        <v>26978163</v>
      </c>
      <c r="N50" s="26">
        <f t="shared" si="29"/>
        <v>35827421</v>
      </c>
      <c r="O50" s="26">
        <f t="shared" si="29"/>
        <v>37081171</v>
      </c>
      <c r="P50" s="26"/>
    </row>
    <row r="51" ht="15.75" customHeight="1">
      <c r="B51" s="7" t="s">
        <v>19</v>
      </c>
      <c r="D51" s="26">
        <f t="shared" si="27"/>
        <v>0</v>
      </c>
      <c r="E51" s="26">
        <f t="shared" ref="E51:O51" si="30">D51+E35</f>
        <v>0</v>
      </c>
      <c r="F51" s="26">
        <f t="shared" si="30"/>
        <v>0</v>
      </c>
      <c r="G51" s="26">
        <f t="shared" si="30"/>
        <v>0</v>
      </c>
      <c r="H51" s="26">
        <f t="shared" si="30"/>
        <v>0</v>
      </c>
      <c r="I51" s="26">
        <f t="shared" si="30"/>
        <v>0</v>
      </c>
      <c r="J51" s="26">
        <f t="shared" si="30"/>
        <v>1490500</v>
      </c>
      <c r="K51" s="26">
        <f t="shared" si="30"/>
        <v>3828000</v>
      </c>
      <c r="L51" s="26">
        <f t="shared" si="30"/>
        <v>3828000</v>
      </c>
      <c r="M51" s="26">
        <f t="shared" si="30"/>
        <v>10828000</v>
      </c>
      <c r="N51" s="26">
        <f t="shared" si="30"/>
        <v>18226000</v>
      </c>
      <c r="O51" s="26">
        <f t="shared" si="30"/>
        <v>18289508</v>
      </c>
      <c r="P51" s="26"/>
    </row>
    <row r="52" ht="15.75" customHeight="1">
      <c r="A52" s="31">
        <v>0.0</v>
      </c>
      <c r="B52" s="7" t="s">
        <v>20</v>
      </c>
      <c r="D52" s="26">
        <f t="shared" si="27"/>
        <v>0</v>
      </c>
      <c r="E52" s="26">
        <f t="shared" ref="E52:O52" si="31">D52+E36</f>
        <v>0</v>
      </c>
      <c r="F52" s="26">
        <f t="shared" si="31"/>
        <v>0</v>
      </c>
      <c r="G52" s="26">
        <f t="shared" si="31"/>
        <v>0</v>
      </c>
      <c r="H52" s="26">
        <f t="shared" si="31"/>
        <v>0</v>
      </c>
      <c r="I52" s="26">
        <f t="shared" si="31"/>
        <v>0</v>
      </c>
      <c r="J52" s="26">
        <f t="shared" si="31"/>
        <v>12569228</v>
      </c>
      <c r="K52" s="26">
        <f t="shared" si="31"/>
        <v>12844228</v>
      </c>
      <c r="L52" s="26">
        <f t="shared" si="31"/>
        <v>15844228</v>
      </c>
      <c r="M52" s="26">
        <f t="shared" si="31"/>
        <v>19549004</v>
      </c>
      <c r="N52" s="26">
        <f t="shared" si="31"/>
        <v>19549004</v>
      </c>
      <c r="O52" s="26">
        <f t="shared" si="31"/>
        <v>19549004</v>
      </c>
      <c r="P52" s="26"/>
    </row>
    <row r="53" ht="15.75" customHeight="1">
      <c r="B53" s="7" t="s">
        <v>21</v>
      </c>
      <c r="D53" s="26">
        <f t="shared" si="27"/>
        <v>0</v>
      </c>
      <c r="E53" s="26">
        <f t="shared" ref="E53:O53" si="32">D53+E37</f>
        <v>0</v>
      </c>
      <c r="F53" s="26">
        <f t="shared" si="32"/>
        <v>0</v>
      </c>
      <c r="G53" s="26">
        <f t="shared" si="32"/>
        <v>0</v>
      </c>
      <c r="H53" s="26">
        <f t="shared" si="32"/>
        <v>0</v>
      </c>
      <c r="I53" s="26">
        <f t="shared" si="32"/>
        <v>0</v>
      </c>
      <c r="J53" s="26">
        <f t="shared" si="32"/>
        <v>18298500</v>
      </c>
      <c r="K53" s="26">
        <f t="shared" si="32"/>
        <v>19935250</v>
      </c>
      <c r="L53" s="26">
        <f t="shared" si="32"/>
        <v>26020250</v>
      </c>
      <c r="M53" s="26">
        <f t="shared" si="32"/>
        <v>30342770</v>
      </c>
      <c r="N53" s="26">
        <f t="shared" si="32"/>
        <v>30596770</v>
      </c>
      <c r="O53" s="26">
        <f t="shared" si="32"/>
        <v>35422000</v>
      </c>
      <c r="P53" s="26"/>
    </row>
    <row r="54" ht="15.75" customHeight="1">
      <c r="B54" s="7" t="s">
        <v>22</v>
      </c>
      <c r="D54" s="26">
        <f t="shared" si="27"/>
        <v>0</v>
      </c>
      <c r="E54" s="26">
        <f t="shared" ref="E54:O54" si="33">D54+E38</f>
        <v>0</v>
      </c>
      <c r="F54" s="26">
        <f t="shared" si="33"/>
        <v>0</v>
      </c>
      <c r="G54" s="26">
        <f t="shared" si="33"/>
        <v>0</v>
      </c>
      <c r="H54" s="26">
        <f t="shared" si="33"/>
        <v>0</v>
      </c>
      <c r="I54" s="26">
        <f t="shared" si="33"/>
        <v>0</v>
      </c>
      <c r="J54" s="26">
        <f t="shared" si="33"/>
        <v>7664561</v>
      </c>
      <c r="K54" s="26">
        <f t="shared" si="33"/>
        <v>7744561</v>
      </c>
      <c r="L54" s="26">
        <f t="shared" si="33"/>
        <v>9950561</v>
      </c>
      <c r="M54" s="26">
        <f t="shared" si="33"/>
        <v>9950561</v>
      </c>
      <c r="N54" s="26">
        <f t="shared" si="33"/>
        <v>10675561</v>
      </c>
      <c r="O54" s="26">
        <f t="shared" si="33"/>
        <v>10675561</v>
      </c>
      <c r="P54" s="26"/>
    </row>
    <row r="55" ht="15.75" customHeight="1">
      <c r="B55" s="7" t="s">
        <v>23</v>
      </c>
      <c r="D55" s="26">
        <f t="shared" si="27"/>
        <v>0</v>
      </c>
      <c r="E55" s="26">
        <f t="shared" ref="E55:O55" si="34">D55+E39</f>
        <v>0</v>
      </c>
      <c r="F55" s="26">
        <f t="shared" si="34"/>
        <v>0</v>
      </c>
      <c r="G55" s="26">
        <f t="shared" si="34"/>
        <v>0</v>
      </c>
      <c r="H55" s="26">
        <f t="shared" si="34"/>
        <v>0</v>
      </c>
      <c r="I55" s="26">
        <f t="shared" si="34"/>
        <v>0</v>
      </c>
      <c r="J55" s="26">
        <f t="shared" si="34"/>
        <v>4479816</v>
      </c>
      <c r="K55" s="26">
        <f t="shared" si="34"/>
        <v>5685566</v>
      </c>
      <c r="L55" s="26">
        <f t="shared" si="34"/>
        <v>17360563</v>
      </c>
      <c r="M55" s="26">
        <f t="shared" si="34"/>
        <v>23035363</v>
      </c>
      <c r="N55" s="26">
        <f t="shared" si="34"/>
        <v>25090613</v>
      </c>
      <c r="O55" s="26">
        <f t="shared" si="34"/>
        <v>26247433</v>
      </c>
      <c r="P55" s="26"/>
    </row>
    <row r="56" ht="15.75" customHeight="1">
      <c r="B56" s="1" t="s">
        <v>24</v>
      </c>
      <c r="D56" s="26">
        <f t="shared" si="27"/>
        <v>575418</v>
      </c>
      <c r="E56" s="26">
        <f t="shared" ref="E56:O56" si="35">D56+E40</f>
        <v>14685687</v>
      </c>
      <c r="F56" s="26">
        <f t="shared" si="35"/>
        <v>23584670</v>
      </c>
      <c r="G56" s="26">
        <f t="shared" si="35"/>
        <v>74881859</v>
      </c>
      <c r="H56" s="26">
        <f t="shared" si="35"/>
        <v>80442977</v>
      </c>
      <c r="I56" s="26">
        <f t="shared" si="35"/>
        <v>88081339</v>
      </c>
      <c r="J56" s="26">
        <f t="shared" si="35"/>
        <v>115690037</v>
      </c>
      <c r="K56" s="26">
        <f t="shared" si="35"/>
        <v>128836018</v>
      </c>
      <c r="L56" s="26">
        <f t="shared" si="35"/>
        <v>131309168</v>
      </c>
      <c r="M56" s="26">
        <f t="shared" si="35"/>
        <v>148004718</v>
      </c>
      <c r="N56" s="26">
        <f t="shared" si="35"/>
        <v>149387468</v>
      </c>
      <c r="O56" s="26">
        <f t="shared" si="35"/>
        <v>181378649</v>
      </c>
      <c r="P56" s="26"/>
    </row>
    <row r="57" ht="15.75" customHeight="1">
      <c r="B57" s="34" t="s">
        <v>33</v>
      </c>
      <c r="D57" s="26">
        <f t="shared" si="27"/>
        <v>0</v>
      </c>
      <c r="E57" s="26">
        <f t="shared" ref="E57:O57" si="36">D57+E41</f>
        <v>0</v>
      </c>
      <c r="F57" s="26">
        <f t="shared" si="36"/>
        <v>0</v>
      </c>
      <c r="G57" s="26">
        <f t="shared" si="36"/>
        <v>0</v>
      </c>
      <c r="H57" s="26">
        <f t="shared" si="36"/>
        <v>0</v>
      </c>
      <c r="I57" s="26">
        <f t="shared" si="36"/>
        <v>0</v>
      </c>
      <c r="J57" s="26">
        <f t="shared" si="36"/>
        <v>0</v>
      </c>
      <c r="K57" s="26">
        <f t="shared" si="36"/>
        <v>0</v>
      </c>
      <c r="L57" s="26">
        <f t="shared" si="36"/>
        <v>4184500</v>
      </c>
      <c r="M57" s="26">
        <f t="shared" si="36"/>
        <v>4184500</v>
      </c>
      <c r="N57" s="26">
        <f t="shared" si="36"/>
        <v>6071000</v>
      </c>
      <c r="O57" s="26">
        <f t="shared" si="36"/>
        <v>6272275</v>
      </c>
      <c r="P57" s="26"/>
    </row>
    <row r="58" ht="15.75" customHeight="1">
      <c r="B58" s="1" t="s">
        <v>25</v>
      </c>
      <c r="D58" s="26">
        <f t="shared" si="27"/>
        <v>20336068</v>
      </c>
      <c r="E58" s="26">
        <f t="shared" ref="E58:O58" si="37">D58+E42</f>
        <v>47069917</v>
      </c>
      <c r="F58" s="26">
        <f t="shared" si="37"/>
        <v>59938900</v>
      </c>
      <c r="G58" s="26">
        <f t="shared" si="37"/>
        <v>131003589</v>
      </c>
      <c r="H58" s="26">
        <f t="shared" si="37"/>
        <v>169201798</v>
      </c>
      <c r="I58" s="26">
        <f t="shared" si="37"/>
        <v>191842160</v>
      </c>
      <c r="J58" s="26">
        <f t="shared" si="37"/>
        <v>272615963</v>
      </c>
      <c r="K58" s="26">
        <f t="shared" si="37"/>
        <v>296776910</v>
      </c>
      <c r="L58" s="26">
        <f t="shared" si="37"/>
        <v>328197634</v>
      </c>
      <c r="M58" s="26">
        <f t="shared" si="37"/>
        <v>376360030</v>
      </c>
      <c r="N58" s="26">
        <f t="shared" si="37"/>
        <v>424977888</v>
      </c>
      <c r="O58" s="26">
        <f t="shared" si="37"/>
        <v>502796346</v>
      </c>
      <c r="P58" s="26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6:F15">
    <cfRule type="cellIs" dxfId="0" priority="1" operator="lessThan">
      <formula>0</formula>
    </cfRule>
  </conditionalFormatting>
  <conditionalFormatting sqref="D6:F15">
    <cfRule type="cellIs" dxfId="1" priority="2" operator="greaterThanOrEqual">
      <formula>0</formula>
    </cfRule>
  </conditionalFormatting>
  <conditionalFormatting sqref="F6:I7 J6:P15">
    <cfRule type="cellIs" dxfId="0" priority="3" operator="lessThan">
      <formula>0</formula>
    </cfRule>
  </conditionalFormatting>
  <conditionalFormatting sqref="F6:I7 J6:P15">
    <cfRule type="cellIs" dxfId="1" priority="4" operator="greaterThanOrEqual">
      <formula>0</formula>
    </cfRule>
  </conditionalFormatting>
  <conditionalFormatting sqref="G8:G15 H9:J13">
    <cfRule type="cellIs" dxfId="0" priority="5" operator="lessThan">
      <formula>0</formula>
    </cfRule>
  </conditionalFormatting>
  <conditionalFormatting sqref="G8:G15 H9:J13">
    <cfRule type="cellIs" dxfId="1" priority="6" operator="greaterThanOrEqual">
      <formula>0</formula>
    </cfRule>
  </conditionalFormatting>
  <conditionalFormatting sqref="H14:J15">
    <cfRule type="cellIs" dxfId="0" priority="7" operator="lessThan">
      <formula>0</formula>
    </cfRule>
  </conditionalFormatting>
  <conditionalFormatting sqref="H14:J15">
    <cfRule type="cellIs" dxfId="1" priority="8" operator="greaterThanOrEqual">
      <formula>0</formula>
    </cfRule>
  </conditionalFormatting>
  <conditionalFormatting sqref="H8 I8:J13 K8:P8">
    <cfRule type="cellIs" dxfId="0" priority="9" operator="lessThan">
      <formula>0</formula>
    </cfRule>
  </conditionalFormatting>
  <conditionalFormatting sqref="H8 I8:J13 K8:P8">
    <cfRule type="cellIs" dxfId="1" priority="10" operator="greaterThanOrEqual">
      <formula>0</formula>
    </cfRule>
  </conditionalFormatting>
  <conditionalFormatting sqref="R6:R16">
    <cfRule type="cellIs" dxfId="0" priority="11" operator="lessThan">
      <formula>0</formula>
    </cfRule>
  </conditionalFormatting>
  <conditionalFormatting sqref="R6:R16">
    <cfRule type="cellIs" dxfId="1" priority="12" operator="greaterThanOr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2025-03-11T03:05:53Z</dcterms:created>
</cp:coreProperties>
</file>